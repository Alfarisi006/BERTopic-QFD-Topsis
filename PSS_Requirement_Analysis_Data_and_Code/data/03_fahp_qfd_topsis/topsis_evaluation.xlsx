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/>
  <mc:AlternateContent xmlns:mc="http://schemas.openxmlformats.org/markup-compatibility/2006">
    <mc:Choice Requires="x15">
      <x15ac:absPath xmlns:x15ac="http://schemas.microsoft.com/office/spreadsheetml/2010/11/ac" url="/Users/laptop_gen2/Desktop/PROJECT01/PSS_Requirement_Analysis_Data_and_Code/data/04_fahp_qfd_topsis/"/>
    </mc:Choice>
  </mc:AlternateContent>
  <xr:revisionPtr revIDLastSave="0" documentId="8_{47712533-3679-1E4D-A17F-FB0FF1D8C49F}" xr6:coauthVersionLast="47" xr6:coauthVersionMax="47" xr10:uidLastSave="{00000000-0000-0000-0000-000000000000}"/>
  <bookViews>
    <workbookView xWindow="0" yWindow="680" windowWidth="29400" windowHeight="14320" tabRatio="500" xr2:uid="{00000000-000D-0000-FFFF-FFFF00000000}"/>
  </bookViews>
  <sheets>
    <sheet name="TOPSIS_Template" sheetId="1" r:id="rId1"/>
    <sheet name="Instructions" sheetId="2" r:id="rId2"/>
    <sheet name="Calc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3" l="1"/>
  <c r="E31" i="3"/>
  <c r="D31" i="3"/>
  <c r="C31" i="3"/>
  <c r="B31" i="3"/>
  <c r="F30" i="3"/>
  <c r="E30" i="3"/>
  <c r="D30" i="3"/>
  <c r="C30" i="3"/>
  <c r="B30" i="3"/>
  <c r="F29" i="3"/>
  <c r="E29" i="3"/>
  <c r="D29" i="3"/>
  <c r="C29" i="3"/>
  <c r="B29" i="3"/>
  <c r="F24" i="3"/>
  <c r="E24" i="3"/>
  <c r="D24" i="3"/>
  <c r="C24" i="3"/>
  <c r="B24" i="3"/>
  <c r="F23" i="3"/>
  <c r="E23" i="3"/>
  <c r="D23" i="3"/>
  <c r="C23" i="3"/>
  <c r="B23" i="3"/>
  <c r="A23" i="3"/>
  <c r="F22" i="3"/>
  <c r="E22" i="3"/>
  <c r="D22" i="3"/>
  <c r="C22" i="3"/>
  <c r="B22" i="3"/>
  <c r="F21" i="3"/>
  <c r="E21" i="3"/>
  <c r="D21" i="3"/>
  <c r="C21" i="3"/>
  <c r="B21" i="3"/>
  <c r="F16" i="3"/>
  <c r="E16" i="3"/>
  <c r="D16" i="3"/>
  <c r="C16" i="3"/>
  <c r="B16" i="3"/>
  <c r="F15" i="3"/>
  <c r="E15" i="3"/>
  <c r="D15" i="3"/>
  <c r="C15" i="3"/>
  <c r="B15" i="3"/>
  <c r="A15" i="3"/>
  <c r="F14" i="3"/>
  <c r="E14" i="3"/>
  <c r="D14" i="3"/>
  <c r="C14" i="3"/>
  <c r="B14" i="3"/>
  <c r="F13" i="3"/>
  <c r="E13" i="3"/>
  <c r="D13" i="3"/>
  <c r="C13" i="3"/>
  <c r="B13" i="3"/>
  <c r="N8" i="3"/>
  <c r="M8" i="3"/>
  <c r="L8" i="3"/>
  <c r="K8" i="3"/>
  <c r="F8" i="3"/>
  <c r="E8" i="3"/>
  <c r="D8" i="3"/>
  <c r="C8" i="3"/>
  <c r="B8" i="3"/>
  <c r="A8" i="3"/>
  <c r="A24" i="3" s="1"/>
  <c r="N7" i="3"/>
  <c r="M7" i="3"/>
  <c r="L7" i="3"/>
  <c r="K7" i="3"/>
  <c r="J7" i="3"/>
  <c r="F7" i="3"/>
  <c r="E7" i="3"/>
  <c r="D7" i="3"/>
  <c r="C7" i="3"/>
  <c r="B7" i="3"/>
  <c r="A7" i="3"/>
  <c r="N6" i="3"/>
  <c r="M6" i="3"/>
  <c r="L6" i="3"/>
  <c r="K6" i="3"/>
  <c r="F6" i="3"/>
  <c r="E6" i="3"/>
  <c r="D6" i="3"/>
  <c r="C6" i="3"/>
  <c r="B6" i="3"/>
  <c r="A6" i="3"/>
  <c r="A22" i="3" s="1"/>
  <c r="F4" i="3"/>
  <c r="E4" i="3"/>
  <c r="D4" i="3"/>
  <c r="C4" i="3"/>
  <c r="B4" i="3"/>
  <c r="F3" i="3"/>
  <c r="E3" i="3"/>
  <c r="D3" i="3"/>
  <c r="C3" i="3"/>
  <c r="B3" i="3"/>
  <c r="F2" i="3"/>
  <c r="E2" i="3"/>
  <c r="D2" i="3"/>
  <c r="C2" i="3"/>
  <c r="B2" i="3"/>
  <c r="M12" i="1"/>
  <c r="L12" i="1"/>
  <c r="K12" i="1"/>
  <c r="J12" i="1"/>
  <c r="I12" i="1"/>
  <c r="M11" i="1"/>
  <c r="L11" i="1"/>
  <c r="K11" i="1"/>
  <c r="J11" i="1"/>
  <c r="I11" i="1"/>
  <c r="M10" i="1"/>
  <c r="L10" i="1"/>
  <c r="K10" i="1"/>
  <c r="J10" i="1"/>
  <c r="I10" i="1"/>
  <c r="L5" i="1"/>
  <c r="J5" i="1"/>
  <c r="L4" i="1"/>
  <c r="J4" i="1"/>
  <c r="A16" i="3" l="1"/>
  <c r="J8" i="3"/>
  <c r="A14" i="3"/>
  <c r="J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7" authorId="0" shapeId="0" xr:uid="{00000000-0006-0000-0000-000001000000}">
      <text>
        <r>
          <rPr>
            <sz val="10"/>
            <color rgb="FF000000"/>
            <rFont val="Arial"/>
            <family val="2"/>
          </rPr>
          <t>输入权重，</t>
        </r>
        <r>
          <rPr>
            <sz val="10"/>
            <color rgb="FF000000"/>
            <rFont val="Arial"/>
            <family val="2"/>
          </rPr>
          <t>5</t>
        </r>
        <r>
          <rPr>
            <sz val="10"/>
            <color rgb="FF000000"/>
            <rFont val="Arial"/>
            <family val="2"/>
          </rPr>
          <t>个权重加总必须等于</t>
        </r>
        <r>
          <rPr>
            <sz val="10"/>
            <color rgb="FF000000"/>
            <rFont val="Noto Sans CJK SC"/>
          </rPr>
          <t xml:space="preserve"> </t>
        </r>
        <r>
          <rPr>
            <sz val="10"/>
            <color rgb="FF000000"/>
            <rFont val="Arial"/>
            <family val="2"/>
          </rPr>
          <t>1</t>
        </r>
        <r>
          <rPr>
            <sz val="10"/>
            <color rgb="FF000000"/>
            <rFont val="Arial"/>
            <family val="2"/>
          </rPr>
          <t>。</t>
        </r>
      </text>
    </comment>
    <comment ref="B8" authorId="0" shapeId="0" xr:uid="{00000000-0006-0000-0000-000002000000}">
      <text>
        <r>
          <rPr>
            <sz val="10"/>
            <color rgb="FF000000"/>
            <rFont val="Arial"/>
            <family val="2"/>
          </rPr>
          <t>只能填</t>
        </r>
        <r>
          <rPr>
            <sz val="10"/>
            <color rgb="FF000000"/>
            <rFont val="Noto Sans CJK SC"/>
          </rPr>
          <t xml:space="preserve"> </t>
        </r>
        <r>
          <rPr>
            <sz val="10"/>
            <color rgb="FF000000"/>
            <rFont val="Arial"/>
            <family val="2"/>
          </rPr>
          <t xml:space="preserve">Benefit </t>
        </r>
        <r>
          <rPr>
            <sz val="10"/>
            <color rgb="FF000000"/>
            <rFont val="Arial"/>
            <family val="2"/>
          </rPr>
          <t>或</t>
        </r>
        <r>
          <rPr>
            <sz val="10"/>
            <color rgb="FF000000"/>
            <rFont val="Noto Sans CJK SC"/>
          </rPr>
          <t xml:space="preserve"> </t>
        </r>
        <r>
          <rPr>
            <sz val="10"/>
            <color rgb="FF000000"/>
            <rFont val="Arial"/>
            <family val="2"/>
          </rPr>
          <t>Cost</t>
        </r>
        <r>
          <rPr>
            <sz val="10"/>
            <color rgb="FF000000"/>
            <rFont val="Arial"/>
            <family val="2"/>
          </rPr>
          <t>。</t>
        </r>
      </text>
    </comment>
    <comment ref="B10" authorId="0" shapeId="0" xr:uid="{00000000-0006-0000-0000-000003000000}">
      <text>
        <r>
          <rPr>
            <sz val="10"/>
            <rFont val="Noto Sans CJK SC"/>
          </rPr>
          <t>输入各方案在各指标上的评分。</t>
        </r>
      </text>
    </comment>
  </commentList>
</comments>
</file>

<file path=xl/sharedStrings.xml><?xml version="1.0" encoding="utf-8"?>
<sst xmlns="http://schemas.openxmlformats.org/spreadsheetml/2006/main" count="101" uniqueCount="63">
  <si>
    <t>Xpert A</t>
  </si>
  <si>
    <t>RSP1</t>
  </si>
  <si>
    <t>RSP2</t>
  </si>
  <si>
    <t>RSP3</t>
  </si>
  <si>
    <t>RSP4</t>
  </si>
  <si>
    <t>RSP5</t>
  </si>
  <si>
    <t>Solution1</t>
  </si>
  <si>
    <t>Solution2</t>
  </si>
  <si>
    <t>Solution3</t>
  </si>
  <si>
    <t>C1</t>
  </si>
  <si>
    <t>C2</t>
  </si>
  <si>
    <t>C3</t>
  </si>
  <si>
    <t>C4</t>
  </si>
  <si>
    <t>C5</t>
  </si>
  <si>
    <t>Xpert B</t>
  </si>
  <si>
    <t>Benefit</t>
  </si>
  <si>
    <t>D+</t>
  </si>
  <si>
    <t>D-</t>
  </si>
  <si>
    <t>Xpert C</t>
  </si>
  <si>
    <t>Xpert D</t>
  </si>
  <si>
    <t>Xpert E</t>
  </si>
  <si>
    <t>使用说明</t>
  </si>
  <si>
    <t>1</t>
  </si>
  <si>
    <t>只修改 TOPSIS_Template 工作表中的黄色单元格。</t>
  </si>
  <si>
    <t>2</t>
  </si>
  <si>
    <r>
      <rPr>
        <sz val="11"/>
        <color theme="1"/>
        <rFont val="Calibri"/>
        <family val="2"/>
      </rPr>
      <t xml:space="preserve">Weight </t>
    </r>
    <r>
      <rPr>
        <sz val="11"/>
        <color theme="1"/>
        <rFont val="Noto Sans CJK SC"/>
      </rPr>
      <t xml:space="preserve">行填写各指标权重，所有权重加总必须等于 </t>
    </r>
    <r>
      <rPr>
        <sz val="11"/>
        <color theme="1"/>
        <rFont val="Calibri"/>
        <family val="2"/>
      </rPr>
      <t>1</t>
    </r>
    <r>
      <rPr>
        <sz val="11"/>
        <color theme="1"/>
        <rFont val="Noto Sans CJK SC"/>
      </rPr>
      <t>。</t>
    </r>
  </si>
  <si>
    <t>3</t>
  </si>
  <si>
    <r>
      <rPr>
        <sz val="11"/>
        <color theme="1"/>
        <rFont val="Calibri"/>
        <family val="2"/>
      </rPr>
      <t xml:space="preserve">Type </t>
    </r>
    <r>
      <rPr>
        <sz val="11"/>
        <color theme="1"/>
        <rFont val="Noto Sans CJK SC"/>
      </rPr>
      <t xml:space="preserve">行只能填写 </t>
    </r>
    <r>
      <rPr>
        <sz val="11"/>
        <color theme="1"/>
        <rFont val="Calibri"/>
        <family val="2"/>
      </rPr>
      <t>Benefit</t>
    </r>
    <r>
      <rPr>
        <sz val="11"/>
        <color theme="1"/>
        <rFont val="Noto Sans CJK SC"/>
      </rPr>
      <t xml:space="preserve">（越大越好）或 </t>
    </r>
    <r>
      <rPr>
        <sz val="11"/>
        <color theme="1"/>
        <rFont val="Calibri"/>
        <family val="2"/>
      </rPr>
      <t>Cost</t>
    </r>
    <r>
      <rPr>
        <sz val="11"/>
        <color theme="1"/>
        <rFont val="Noto Sans CJK SC"/>
      </rPr>
      <t>（越小越好）。</t>
    </r>
  </si>
  <si>
    <t>4</t>
  </si>
  <si>
    <t>评分建议使用同一量表，例如 1-9 分。</t>
  </si>
  <si>
    <t>5</t>
  </si>
  <si>
    <t>右侧 Output 区会自动生成 D+、D-、贴近度和排名。贴近度越大越好。</t>
  </si>
  <si>
    <t>6</t>
  </si>
  <si>
    <t>本模板固定为 5 个指标、3 个方案。若需改方案数或指标数，再单独调整公式。</t>
  </si>
  <si>
    <t>7</t>
  </si>
  <si>
    <t>如需给论文附录展示计算过程，可取消隐藏 Calc 工作表。</t>
  </si>
  <si>
    <t>Internal calculation sheet</t>
  </si>
  <si>
    <t>Weight</t>
  </si>
  <si>
    <t>Type</t>
  </si>
  <si>
    <t>Alternative</t>
  </si>
  <si>
    <t>Closeness</t>
  </si>
  <si>
    <t>Rank</t>
  </si>
  <si>
    <t>Normalized</t>
  </si>
  <si>
    <t>Weighted</t>
  </si>
  <si>
    <t>Ideal</t>
  </si>
  <si>
    <t>Positive Ideal</t>
  </si>
  <si>
    <t>Negative Ideal</t>
  </si>
  <si>
    <t xml:space="preserve">TOPSIS </t>
    <phoneticPr fontId="10" type="noConversion"/>
  </si>
  <si>
    <t>Type</t>
    <phoneticPr fontId="10" type="noConversion"/>
  </si>
  <si>
    <t>Weight</t>
    <phoneticPr fontId="10" type="noConversion"/>
  </si>
  <si>
    <t>SOLUTION A</t>
    <phoneticPr fontId="10" type="noConversion"/>
  </si>
  <si>
    <t>SOLUTION B</t>
    <phoneticPr fontId="10" type="noConversion"/>
  </si>
  <si>
    <t>SOLUTION C</t>
    <phoneticPr fontId="10" type="noConversion"/>
  </si>
  <si>
    <t>SOLUTION/CRITERIA</t>
    <phoneticPr fontId="10" type="noConversion"/>
  </si>
  <si>
    <t>SOLUTION</t>
    <phoneticPr fontId="10" type="noConversion"/>
  </si>
  <si>
    <t xml:space="preserve"> Closeness</t>
    <phoneticPr fontId="10" type="noConversion"/>
  </si>
  <si>
    <t>Rank</t>
    <phoneticPr fontId="10" type="noConversion"/>
  </si>
  <si>
    <r>
      <t>结果输出</t>
    </r>
    <r>
      <rPr>
        <b/>
        <sz val="11"/>
        <color theme="0"/>
        <rFont val="Noto Sans CJK SC"/>
      </rPr>
      <t xml:space="preserve"> Output</t>
    </r>
  </si>
  <si>
    <r>
      <t>输入区</t>
    </r>
    <r>
      <rPr>
        <b/>
        <sz val="11"/>
        <color theme="0"/>
        <rFont val="Noto Sans CJK SC"/>
      </rPr>
      <t xml:space="preserve"> Input</t>
    </r>
  </si>
  <si>
    <t>Weighted sum</t>
  </si>
  <si>
    <t>OPTIMAL SOLUTION</t>
    <phoneticPr fontId="10" type="noConversion"/>
  </si>
  <si>
    <t>STATE</t>
    <phoneticPr fontId="10" type="noConversion"/>
  </si>
  <si>
    <t>Highest Proximity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</si>
</sst>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.000"/>
    <numFmt numFmtId="181" formatCode="0.0000"/>
  </numFmts>
  <fonts count="16">
    <font>
      <sz val="10"/>
      <name val="Arial"/>
      <charset val="1"/>
    </font>
    <font>
      <sz val="11"/>
      <color theme="1"/>
      <name val="Calibri"/>
      <family val="2"/>
    </font>
    <font>
      <b/>
      <sz val="14"/>
      <color theme="1"/>
      <name val="Noto Sans CJK SC"/>
      <charset val="1"/>
    </font>
    <font>
      <b/>
      <sz val="11"/>
      <color theme="1"/>
      <name val="Cambria"/>
      <family val="1"/>
    </font>
    <font>
      <sz val="11"/>
      <color theme="1"/>
      <name val="Noto Sans CJK SC"/>
      <charset val="1"/>
    </font>
    <font>
      <i/>
      <sz val="11"/>
      <color theme="1"/>
      <name val="Noto Sans CJK SC"/>
      <charset val="1"/>
    </font>
    <font>
      <b/>
      <sz val="11"/>
      <color theme="1"/>
      <name val="Noto Sans CJK SC"/>
      <charset val="1"/>
    </font>
    <font>
      <sz val="11"/>
      <color theme="1"/>
      <name val="Cambria"/>
      <family val="1"/>
    </font>
    <font>
      <sz val="11"/>
      <color theme="1"/>
      <name val="Noto Sans CJK SC"/>
    </font>
    <font>
      <sz val="10"/>
      <name val="Noto Sans CJK SC"/>
    </font>
    <font>
      <sz val="9"/>
      <name val="FangSong"/>
      <family val="3"/>
      <charset val="134"/>
    </font>
    <font>
      <sz val="10"/>
      <color rgb="FF000000"/>
      <name val="Arial"/>
      <family val="2"/>
    </font>
    <font>
      <sz val="10"/>
      <color rgb="FF000000"/>
      <name val="Noto Sans CJK SC"/>
    </font>
    <font>
      <b/>
      <sz val="11"/>
      <color theme="0"/>
      <name val="Noto Sans CJK SC"/>
      <charset val="1"/>
    </font>
    <font>
      <b/>
      <sz val="11"/>
      <color theme="0"/>
      <name val="Noto Sans CJK SC"/>
    </font>
    <font>
      <b/>
      <sz val="14"/>
      <color theme="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7E6E6"/>
      </patternFill>
    </fill>
    <fill>
      <patternFill patternType="solid">
        <fgColor rgb="FFFCE4D6"/>
        <bgColor rgb="FFFFF2CC"/>
      </patternFill>
    </fill>
    <fill>
      <patternFill patternType="solid">
        <fgColor rgb="FFE2F0D9"/>
        <bgColor rgb="FFE7E6E6"/>
      </patternFill>
    </fill>
    <fill>
      <patternFill patternType="solid">
        <fgColor rgb="FFFFF2CC"/>
        <bgColor rgb="FFFCE4D6"/>
      </patternFill>
    </fill>
    <fill>
      <patternFill patternType="solid">
        <fgColor rgb="FFE7E6E6"/>
        <bgColor rgb="FFDDEB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80" fontId="0" fillId="0" borderId="0" xfId="0" applyNumberFormat="1"/>
    <xf numFmtId="181" fontId="1" fillId="0" borderId="0" xfId="0" applyNumberFormat="1" applyFont="1"/>
    <xf numFmtId="0" fontId="3" fillId="3" borderId="1" xfId="0" applyFont="1" applyFill="1" applyBorder="1"/>
    <xf numFmtId="0" fontId="4" fillId="0" borderId="1" xfId="0" applyFont="1" applyBorder="1"/>
    <xf numFmtId="0" fontId="1" fillId="0" borderId="1" xfId="0" applyFon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80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181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0" xfId="0" applyFont="1" applyFill="1"/>
    <xf numFmtId="0" fontId="1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180" fontId="1" fillId="4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81" fontId="1" fillId="5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常规" xfId="0" builtinId="0"/>
  </cellStyles>
  <dxfs count="2">
    <dxf>
      <fill>
        <patternFill patternType="solid">
          <bgColor rgb="FFF8CBAD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DDEB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F0D9"/>
      <rgbColor rgb="00FCE4D6"/>
      <rgbColor rgb="0099CCFF"/>
      <rgbColor rgb="00FF99CC"/>
      <rgbColor rgb="00CC99FF"/>
      <rgbColor rgb="00F8CBAD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"/>
  <sheetViews>
    <sheetView tabSelected="1" zoomScaleNormal="135" workbookViewId="0">
      <selection activeCell="M16" sqref="M16"/>
    </sheetView>
  </sheetViews>
  <sheetFormatPr baseColWidth="10" defaultColWidth="8.6640625" defaultRowHeight="12.75" customHeight="1"/>
  <cols>
    <col min="1" max="1" width="27" customWidth="1"/>
    <col min="2" max="6" width="13" customWidth="1"/>
    <col min="7" max="8" width="3" customWidth="1"/>
    <col min="9" max="9" width="18.1640625" customWidth="1"/>
    <col min="10" max="10" width="12" customWidth="1"/>
    <col min="11" max="11" width="14.5" customWidth="1"/>
    <col min="12" max="12" width="14" customWidth="1"/>
    <col min="13" max="13" width="13" customWidth="1"/>
    <col min="23" max="23" width="7.6640625" customWidth="1"/>
  </cols>
  <sheetData>
    <row r="1" spans="1:23" ht="21.75" customHeight="1">
      <c r="A1" s="22" t="s">
        <v>47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P1" s="23" t="s">
        <v>0</v>
      </c>
      <c r="Q1" s="23" t="s">
        <v>1</v>
      </c>
      <c r="R1" s="23" t="s">
        <v>2</v>
      </c>
      <c r="S1" s="23" t="s">
        <v>3</v>
      </c>
      <c r="T1" s="23" t="s">
        <v>4</v>
      </c>
      <c r="U1" s="23" t="s">
        <v>5</v>
      </c>
    </row>
    <row r="2" spans="1:23" ht="21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P2" s="23" t="s">
        <v>6</v>
      </c>
      <c r="Q2" s="24">
        <v>4</v>
      </c>
      <c r="R2" s="24">
        <v>4</v>
      </c>
      <c r="S2" s="24">
        <v>2</v>
      </c>
      <c r="T2" s="24">
        <v>3</v>
      </c>
      <c r="U2" s="24">
        <v>5</v>
      </c>
    </row>
    <row r="3" spans="1:23" ht="21.75" customHeight="1">
      <c r="A3" s="7"/>
      <c r="B3" s="7"/>
      <c r="C3" s="7"/>
      <c r="D3" s="7"/>
      <c r="E3" s="7"/>
      <c r="F3" s="7"/>
      <c r="G3" s="7"/>
      <c r="H3" s="7"/>
      <c r="I3" s="30"/>
      <c r="J3" s="30"/>
      <c r="K3" s="30"/>
      <c r="L3" s="30"/>
      <c r="M3" s="7"/>
      <c r="P3" s="23" t="s">
        <v>7</v>
      </c>
      <c r="Q3" s="24">
        <v>4</v>
      </c>
      <c r="R3" s="24">
        <v>5</v>
      </c>
      <c r="S3" s="24">
        <v>2</v>
      </c>
      <c r="T3" s="24">
        <v>3</v>
      </c>
      <c r="U3" s="24">
        <v>3</v>
      </c>
    </row>
    <row r="4" spans="1:23" ht="21.75" customHeight="1">
      <c r="A4" s="20" t="s">
        <v>58</v>
      </c>
      <c r="B4" s="21"/>
      <c r="C4" s="21"/>
      <c r="D4" s="21"/>
      <c r="E4" s="21"/>
      <c r="F4" s="21"/>
      <c r="G4" s="7"/>
      <c r="H4" s="7"/>
      <c r="I4" s="25" t="s">
        <v>59</v>
      </c>
      <c r="J4" s="26">
        <f>SUM(B7:F7)</f>
        <v>1</v>
      </c>
      <c r="K4" s="25" t="s">
        <v>61</v>
      </c>
      <c r="L4" s="27" t="str">
        <f>IF(ABS(J4-1)&lt;0.000001,"OK","ERROR: must = 1")</f>
        <v>OK</v>
      </c>
      <c r="M4" s="7"/>
      <c r="P4" s="23" t="s">
        <v>8</v>
      </c>
      <c r="Q4" s="24">
        <v>5</v>
      </c>
      <c r="R4" s="24">
        <v>3</v>
      </c>
      <c r="S4" s="24">
        <v>5</v>
      </c>
      <c r="T4" s="24">
        <v>2</v>
      </c>
      <c r="U4" s="24">
        <v>2</v>
      </c>
    </row>
    <row r="5" spans="1:23" ht="21.75" customHeight="1">
      <c r="A5" s="7"/>
      <c r="B5" s="7"/>
      <c r="C5" s="7"/>
      <c r="D5" s="7"/>
      <c r="E5" s="7"/>
      <c r="F5" s="7"/>
      <c r="G5" s="7"/>
      <c r="H5" s="7"/>
      <c r="I5" s="28" t="s">
        <v>60</v>
      </c>
      <c r="J5" s="28" t="str">
        <f>IFERROR(INDEX($A$10:$A$12,MATCH(MAX($L$10:$L$12),$L$10:$L$12,0)),"")</f>
        <v>SOLUTION B</v>
      </c>
      <c r="K5" s="28" t="s">
        <v>62</v>
      </c>
      <c r="L5" s="29">
        <f>IFERROR(MAX($L$10:$L$12),"")</f>
        <v>0.51477835429800101</v>
      </c>
      <c r="M5" s="7"/>
      <c r="P5" s="23"/>
      <c r="Q5" s="23"/>
      <c r="R5" s="23"/>
      <c r="S5" s="23"/>
      <c r="T5" s="23"/>
      <c r="U5" s="23"/>
    </row>
    <row r="6" spans="1:23" ht="21.75" customHeight="1">
      <c r="A6" s="8" t="s">
        <v>53</v>
      </c>
      <c r="B6" s="9" t="s">
        <v>9</v>
      </c>
      <c r="C6" s="9" t="s">
        <v>10</v>
      </c>
      <c r="D6" s="9" t="s">
        <v>11</v>
      </c>
      <c r="E6" s="9" t="s">
        <v>12</v>
      </c>
      <c r="F6" s="9" t="s">
        <v>13</v>
      </c>
      <c r="G6" s="7"/>
      <c r="H6" s="7"/>
      <c r="I6" s="7"/>
      <c r="J6" s="7"/>
      <c r="K6" s="7"/>
      <c r="L6" s="7"/>
      <c r="M6" s="7"/>
      <c r="P6" s="23" t="s">
        <v>14</v>
      </c>
      <c r="Q6" s="23" t="s">
        <v>1</v>
      </c>
      <c r="R6" s="23" t="s">
        <v>2</v>
      </c>
      <c r="S6" s="23" t="s">
        <v>3</v>
      </c>
      <c r="T6" s="23" t="s">
        <v>4</v>
      </c>
      <c r="U6" s="23" t="s">
        <v>5</v>
      </c>
    </row>
    <row r="7" spans="1:23" ht="21.75" customHeight="1">
      <c r="A7" s="10" t="s">
        <v>49</v>
      </c>
      <c r="B7" s="11">
        <v>0.19</v>
      </c>
      <c r="C7" s="11">
        <v>0.16500000000000001</v>
      </c>
      <c r="D7" s="11">
        <v>0.24</v>
      </c>
      <c r="E7" s="11">
        <v>0.19</v>
      </c>
      <c r="F7" s="11">
        <v>0.215</v>
      </c>
      <c r="G7" s="7"/>
      <c r="H7" s="7"/>
      <c r="I7" s="20" t="s">
        <v>57</v>
      </c>
      <c r="J7" s="21"/>
      <c r="K7" s="21"/>
      <c r="L7" s="21"/>
      <c r="M7" s="21"/>
      <c r="P7" s="23" t="s">
        <v>6</v>
      </c>
      <c r="Q7" s="24">
        <v>3</v>
      </c>
      <c r="R7" s="24">
        <v>4</v>
      </c>
      <c r="S7" s="24">
        <v>2</v>
      </c>
      <c r="T7" s="24">
        <v>3</v>
      </c>
      <c r="U7" s="24">
        <v>5</v>
      </c>
    </row>
    <row r="8" spans="1:23" ht="21.75" customHeight="1">
      <c r="A8" s="10" t="s">
        <v>48</v>
      </c>
      <c r="B8" s="12" t="s">
        <v>15</v>
      </c>
      <c r="C8" s="12" t="s">
        <v>15</v>
      </c>
      <c r="D8" s="12" t="s">
        <v>15</v>
      </c>
      <c r="E8" s="12" t="s">
        <v>15</v>
      </c>
      <c r="F8" s="12" t="s">
        <v>15</v>
      </c>
      <c r="G8" s="7"/>
      <c r="H8" s="7"/>
      <c r="I8" s="7"/>
      <c r="J8" s="7"/>
      <c r="K8" s="7"/>
      <c r="L8" s="7"/>
      <c r="M8" s="7"/>
      <c r="P8" s="23" t="s">
        <v>7</v>
      </c>
      <c r="Q8" s="24">
        <v>4</v>
      </c>
      <c r="R8" s="23">
        <v>5</v>
      </c>
      <c r="S8" s="24">
        <v>3</v>
      </c>
      <c r="T8" s="23">
        <v>4</v>
      </c>
      <c r="U8" s="24">
        <v>4</v>
      </c>
    </row>
    <row r="9" spans="1:23" ht="21.75" customHeight="1">
      <c r="A9" s="13"/>
      <c r="B9" s="13"/>
      <c r="C9" s="13"/>
      <c r="D9" s="13"/>
      <c r="E9" s="13"/>
      <c r="F9" s="13"/>
      <c r="G9" s="7"/>
      <c r="H9" s="7"/>
      <c r="I9" s="8" t="s">
        <v>54</v>
      </c>
      <c r="J9" s="14" t="s">
        <v>16</v>
      </c>
      <c r="K9" s="14" t="s">
        <v>17</v>
      </c>
      <c r="L9" s="8" t="s">
        <v>55</v>
      </c>
      <c r="M9" s="8" t="s">
        <v>56</v>
      </c>
      <c r="P9" s="23" t="s">
        <v>8</v>
      </c>
      <c r="Q9" s="24">
        <v>3</v>
      </c>
      <c r="R9" s="23">
        <v>3</v>
      </c>
      <c r="S9" s="24">
        <v>5</v>
      </c>
      <c r="T9" s="23">
        <v>2</v>
      </c>
      <c r="U9" s="24">
        <v>2</v>
      </c>
    </row>
    <row r="10" spans="1:23" ht="21.75" customHeight="1">
      <c r="A10" s="15" t="s">
        <v>50</v>
      </c>
      <c r="B10" s="12">
        <v>3.2</v>
      </c>
      <c r="C10" s="12">
        <v>4</v>
      </c>
      <c r="D10" s="12">
        <v>2</v>
      </c>
      <c r="E10" s="12">
        <v>3</v>
      </c>
      <c r="F10" s="12">
        <v>4.5999999999999996</v>
      </c>
      <c r="G10" s="7"/>
      <c r="H10" s="7"/>
      <c r="I10" s="13" t="str">
        <f>A10</f>
        <v>SOLUTION A</v>
      </c>
      <c r="J10" s="16">
        <f>Calc!K6</f>
        <v>0.11535366028692901</v>
      </c>
      <c r="K10" s="16">
        <f>Calc!L6</f>
        <v>9.3879129827975097E-2</v>
      </c>
      <c r="L10" s="16">
        <f>Calc!M6</f>
        <v>0.44868268389682098</v>
      </c>
      <c r="M10" s="17">
        <f>Calc!N6</f>
        <v>3</v>
      </c>
      <c r="P10" s="23"/>
      <c r="Q10" s="23"/>
      <c r="R10" s="23"/>
      <c r="S10" s="23"/>
      <c r="T10" s="23"/>
      <c r="U10" s="23"/>
    </row>
    <row r="11" spans="1:23" ht="21.75" customHeight="1">
      <c r="A11" s="15" t="s">
        <v>51</v>
      </c>
      <c r="B11" s="12">
        <v>4</v>
      </c>
      <c r="C11" s="12">
        <v>4.4000000000000004</v>
      </c>
      <c r="D11" s="12">
        <v>2.8</v>
      </c>
      <c r="E11" s="12">
        <v>3.8</v>
      </c>
      <c r="F11" s="12">
        <v>3.4</v>
      </c>
      <c r="G11" s="7"/>
      <c r="H11" s="7"/>
      <c r="I11" s="13" t="str">
        <f>A11</f>
        <v>SOLUTION B</v>
      </c>
      <c r="J11" s="16">
        <f>Calc!K7</f>
        <v>8.6182812672343095E-2</v>
      </c>
      <c r="K11" s="16">
        <f>Calc!L7</f>
        <v>9.1432537829296806E-2</v>
      </c>
      <c r="L11" s="16">
        <f>Calc!M7</f>
        <v>0.51477835429800101</v>
      </c>
      <c r="M11" s="17">
        <f>Calc!N7</f>
        <v>1</v>
      </c>
      <c r="P11" s="23" t="s">
        <v>18</v>
      </c>
      <c r="Q11" s="23" t="s">
        <v>1</v>
      </c>
      <c r="R11" s="23" t="s">
        <v>2</v>
      </c>
      <c r="S11" s="23" t="s">
        <v>3</v>
      </c>
      <c r="T11" s="23" t="s">
        <v>4</v>
      </c>
      <c r="U11" s="23" t="s">
        <v>5</v>
      </c>
    </row>
    <row r="12" spans="1:23" ht="21.75" customHeight="1">
      <c r="A12" s="15" t="s">
        <v>52</v>
      </c>
      <c r="B12" s="12">
        <v>3.6</v>
      </c>
      <c r="C12" s="12">
        <v>2.8</v>
      </c>
      <c r="D12" s="12">
        <v>4.5999999999999996</v>
      </c>
      <c r="E12" s="12">
        <v>2.2000000000000002</v>
      </c>
      <c r="F12" s="12">
        <v>2.2000000000000002</v>
      </c>
      <c r="G12" s="7"/>
      <c r="H12" s="7"/>
      <c r="I12" s="13" t="str">
        <f>A12</f>
        <v>SOLUTION C</v>
      </c>
      <c r="J12" s="16">
        <f>Calc!K8</f>
        <v>0.110079020103827</v>
      </c>
      <c r="K12" s="16">
        <f>Calc!L8</f>
        <v>0.10930059316420999</v>
      </c>
      <c r="L12" s="16">
        <f>Calc!M8</f>
        <v>0.49822584485399402</v>
      </c>
      <c r="M12" s="17">
        <f>Calc!N8</f>
        <v>2</v>
      </c>
      <c r="P12" s="23" t="s">
        <v>6</v>
      </c>
      <c r="Q12" s="24">
        <v>3</v>
      </c>
      <c r="R12" s="24">
        <v>4</v>
      </c>
      <c r="S12" s="24">
        <v>2</v>
      </c>
      <c r="T12" s="24">
        <v>3</v>
      </c>
      <c r="U12" s="24">
        <v>4</v>
      </c>
    </row>
    <row r="13" spans="1:23" ht="21.75" customHeight="1">
      <c r="A13" s="15"/>
      <c r="B13" s="12"/>
      <c r="C13" s="12"/>
      <c r="D13" s="12"/>
      <c r="E13" s="12"/>
      <c r="F13" s="12"/>
      <c r="G13" s="7"/>
      <c r="H13" s="7"/>
      <c r="I13" s="13"/>
      <c r="J13" s="16"/>
      <c r="K13" s="16"/>
      <c r="L13" s="16"/>
      <c r="M13" s="17"/>
      <c r="P13" s="23" t="s">
        <v>7</v>
      </c>
      <c r="Q13" s="24">
        <v>4</v>
      </c>
      <c r="R13" s="24">
        <v>4</v>
      </c>
      <c r="S13" s="24">
        <v>3</v>
      </c>
      <c r="T13" s="24">
        <v>4</v>
      </c>
      <c r="U13" s="24">
        <v>3</v>
      </c>
      <c r="W13" s="6"/>
    </row>
    <row r="14" spans="1:23" ht="21.75" customHeight="1">
      <c r="A14" s="15"/>
      <c r="B14" s="12"/>
      <c r="C14" s="12"/>
      <c r="D14" s="12"/>
      <c r="E14" s="12"/>
      <c r="F14" s="12"/>
      <c r="G14" s="7"/>
      <c r="H14" s="7"/>
      <c r="I14" s="13"/>
      <c r="J14" s="16"/>
      <c r="K14" s="16"/>
      <c r="L14" s="16"/>
      <c r="M14" s="17"/>
      <c r="P14" s="23" t="s">
        <v>8</v>
      </c>
      <c r="Q14" s="24">
        <v>3</v>
      </c>
      <c r="R14" s="24">
        <v>3</v>
      </c>
      <c r="S14" s="24">
        <v>5</v>
      </c>
      <c r="T14" s="24">
        <v>2</v>
      </c>
      <c r="U14" s="24">
        <v>2</v>
      </c>
    </row>
    <row r="15" spans="1:23" ht="21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P15" s="23"/>
      <c r="Q15" s="23"/>
      <c r="R15" s="23"/>
      <c r="S15" s="23"/>
      <c r="T15" s="23"/>
      <c r="U15" s="23"/>
    </row>
    <row r="16" spans="1:23" ht="21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P16" s="23" t="s">
        <v>19</v>
      </c>
      <c r="Q16" s="23" t="s">
        <v>1</v>
      </c>
      <c r="R16" s="23" t="s">
        <v>2</v>
      </c>
      <c r="S16" s="23" t="s">
        <v>3</v>
      </c>
      <c r="T16" s="23" t="s">
        <v>4</v>
      </c>
      <c r="U16" s="23" t="s">
        <v>5</v>
      </c>
    </row>
    <row r="17" spans="1:23" ht="21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P17" s="23" t="s">
        <v>6</v>
      </c>
      <c r="Q17" s="24">
        <v>3</v>
      </c>
      <c r="R17" s="24">
        <v>4</v>
      </c>
      <c r="S17" s="24">
        <v>2</v>
      </c>
      <c r="T17" s="24">
        <v>3</v>
      </c>
      <c r="U17" s="24">
        <v>5</v>
      </c>
      <c r="V17" s="6"/>
    </row>
    <row r="18" spans="1:23" ht="21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P18" s="23" t="s">
        <v>7</v>
      </c>
      <c r="Q18" s="24">
        <v>4</v>
      </c>
      <c r="R18" s="24">
        <v>4</v>
      </c>
      <c r="S18" s="24">
        <v>3</v>
      </c>
      <c r="T18" s="24">
        <v>4</v>
      </c>
      <c r="U18" s="24">
        <v>4</v>
      </c>
      <c r="V18" s="6"/>
      <c r="W18" s="6"/>
    </row>
    <row r="19" spans="1:23" ht="21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P19" s="23" t="s">
        <v>8</v>
      </c>
      <c r="Q19" s="24">
        <v>3</v>
      </c>
      <c r="R19" s="24">
        <v>2</v>
      </c>
      <c r="S19" s="24">
        <v>4</v>
      </c>
      <c r="T19" s="24">
        <v>2</v>
      </c>
      <c r="U19" s="24">
        <v>2</v>
      </c>
      <c r="V19" s="6"/>
    </row>
    <row r="20" spans="1:23" ht="21.75" customHeight="1">
      <c r="P20" s="23"/>
      <c r="Q20" s="23"/>
      <c r="R20" s="23"/>
      <c r="S20" s="23"/>
      <c r="T20" s="23"/>
      <c r="U20" s="23"/>
    </row>
    <row r="21" spans="1:23" ht="21.75" customHeight="1">
      <c r="P21" s="23" t="s">
        <v>20</v>
      </c>
      <c r="Q21" s="23" t="s">
        <v>1</v>
      </c>
      <c r="R21" s="23" t="s">
        <v>2</v>
      </c>
      <c r="S21" s="23" t="s">
        <v>3</v>
      </c>
      <c r="T21" s="23" t="s">
        <v>4</v>
      </c>
      <c r="U21" s="23" t="s">
        <v>5</v>
      </c>
    </row>
    <row r="22" spans="1:23" ht="21.75" customHeight="1">
      <c r="P22" s="23" t="s">
        <v>6</v>
      </c>
      <c r="Q22" s="24">
        <v>3</v>
      </c>
      <c r="R22" s="24">
        <v>4</v>
      </c>
      <c r="S22" s="24">
        <v>2</v>
      </c>
      <c r="T22" s="24">
        <v>3</v>
      </c>
      <c r="U22" s="24">
        <v>4</v>
      </c>
    </row>
    <row r="23" spans="1:23" ht="21.75" customHeight="1">
      <c r="P23" s="23" t="s">
        <v>7</v>
      </c>
      <c r="Q23" s="24">
        <v>4</v>
      </c>
      <c r="R23" s="24">
        <v>4</v>
      </c>
      <c r="S23" s="24">
        <v>3</v>
      </c>
      <c r="T23" s="24">
        <v>4</v>
      </c>
      <c r="U23" s="24">
        <v>3</v>
      </c>
    </row>
    <row r="24" spans="1:23" ht="21.75" customHeight="1">
      <c r="P24" s="23" t="s">
        <v>8</v>
      </c>
      <c r="Q24" s="24">
        <v>4</v>
      </c>
      <c r="R24" s="24">
        <v>3</v>
      </c>
      <c r="S24" s="24">
        <v>4</v>
      </c>
      <c r="T24" s="24">
        <v>3</v>
      </c>
      <c r="U24" s="24">
        <v>3</v>
      </c>
    </row>
  </sheetData>
  <mergeCells count="4">
    <mergeCell ref="A1:M1"/>
    <mergeCell ref="A2:M2"/>
    <mergeCell ref="A4:F4"/>
    <mergeCell ref="I7:M7"/>
  </mergeCells>
  <phoneticPr fontId="10" type="noConversion"/>
  <conditionalFormatting sqref="L4">
    <cfRule type="expression" dxfId="1" priority="2">
      <formula>$L$4="OK"</formula>
    </cfRule>
    <cfRule type="expression" dxfId="0" priority="3">
      <formula>LEFT($L$4,5)="ERROR"</formula>
    </cfRule>
  </conditionalFormatting>
  <dataValidations count="1">
    <dataValidation type="list" allowBlank="1" sqref="B8:F8" xr:uid="{00000000-0002-0000-0000-000000000000}">
      <formula1>"Benefit,Cost"</formula1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sqref="A1:B1"/>
    </sheetView>
  </sheetViews>
  <sheetFormatPr baseColWidth="10" defaultColWidth="8.6640625" defaultRowHeight="12.75" customHeight="1"/>
  <cols>
    <col min="1" max="1" width="12" customWidth="1"/>
    <col min="2" max="2" width="90" customWidth="1"/>
  </cols>
  <sheetData>
    <row r="1" spans="1:2" ht="17.25" customHeight="1">
      <c r="A1" s="19" t="s">
        <v>21</v>
      </c>
      <c r="B1" s="19"/>
    </row>
    <row r="3" spans="1:2" ht="16.5" customHeight="1">
      <c r="A3" s="3" t="s">
        <v>22</v>
      </c>
      <c r="B3" s="4" t="s">
        <v>23</v>
      </c>
    </row>
    <row r="4" spans="1:2" ht="16.5" customHeight="1">
      <c r="A4" s="3" t="s">
        <v>24</v>
      </c>
      <c r="B4" s="5" t="s">
        <v>25</v>
      </c>
    </row>
    <row r="5" spans="1:2" ht="16.5" customHeight="1">
      <c r="A5" s="3" t="s">
        <v>26</v>
      </c>
      <c r="B5" s="5" t="s">
        <v>27</v>
      </c>
    </row>
    <row r="6" spans="1:2" ht="16.5" customHeight="1">
      <c r="A6" s="3" t="s">
        <v>28</v>
      </c>
      <c r="B6" s="4" t="s">
        <v>29</v>
      </c>
    </row>
    <row r="7" spans="1:2" ht="16.5" customHeight="1">
      <c r="A7" s="3" t="s">
        <v>30</v>
      </c>
      <c r="B7" s="4" t="s">
        <v>31</v>
      </c>
    </row>
    <row r="8" spans="1:2" ht="16.5" customHeight="1">
      <c r="A8" s="3" t="s">
        <v>32</v>
      </c>
      <c r="B8" s="4" t="s">
        <v>33</v>
      </c>
    </row>
    <row r="9" spans="1:2" ht="16.5" customHeight="1">
      <c r="A9" s="3" t="s">
        <v>34</v>
      </c>
      <c r="B9" s="4" t="s">
        <v>35</v>
      </c>
    </row>
  </sheetData>
  <mergeCells count="1">
    <mergeCell ref="A1:B1"/>
  </mergeCells>
  <phoneticPr fontId="1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1"/>
  <sheetViews>
    <sheetView workbookViewId="0"/>
  </sheetViews>
  <sheetFormatPr baseColWidth="10" defaultColWidth="8.6640625" defaultRowHeight="12.75" customHeight="1"/>
  <cols>
    <col min="1" max="19" width="14" customWidth="1"/>
  </cols>
  <sheetData>
    <row r="1" spans="1:14" ht="12.75" customHeight="1">
      <c r="A1" t="s">
        <v>36</v>
      </c>
    </row>
    <row r="2" spans="1:14" ht="12.75" customHeight="1">
      <c r="B2" t="str">
        <f>TOPSIS_Template!B6</f>
        <v>C1</v>
      </c>
      <c r="C2" t="str">
        <f>TOPSIS_Template!C6</f>
        <v>C2</v>
      </c>
      <c r="D2" t="str">
        <f>TOPSIS_Template!D6</f>
        <v>C3</v>
      </c>
      <c r="E2" t="str">
        <f>TOPSIS_Template!E6</f>
        <v>C4</v>
      </c>
      <c r="F2" t="str">
        <f>TOPSIS_Template!F6</f>
        <v>C5</v>
      </c>
    </row>
    <row r="3" spans="1:14" ht="12.75" customHeight="1">
      <c r="A3" t="s">
        <v>37</v>
      </c>
      <c r="B3" s="1">
        <f>TOPSIS_Template!B7</f>
        <v>0.19</v>
      </c>
      <c r="C3" s="1">
        <f>TOPSIS_Template!C7</f>
        <v>0.16500000000000001</v>
      </c>
      <c r="D3" s="1">
        <f>TOPSIS_Template!D7</f>
        <v>0.24</v>
      </c>
      <c r="E3" s="1">
        <f>TOPSIS_Template!E7</f>
        <v>0.19</v>
      </c>
      <c r="F3" s="1">
        <f>TOPSIS_Template!F7</f>
        <v>0.215</v>
      </c>
    </row>
    <row r="4" spans="1:14" ht="12.75" customHeight="1">
      <c r="A4" t="s">
        <v>38</v>
      </c>
      <c r="B4" t="str">
        <f>TOPSIS_Template!B8</f>
        <v>Benefit</v>
      </c>
      <c r="C4" t="str">
        <f>TOPSIS_Template!C8</f>
        <v>Benefit</v>
      </c>
      <c r="D4" t="str">
        <f>TOPSIS_Template!D8</f>
        <v>Benefit</v>
      </c>
      <c r="E4" t="str">
        <f>TOPSIS_Template!E8</f>
        <v>Benefit</v>
      </c>
      <c r="F4" t="str">
        <f>TOPSIS_Template!F8</f>
        <v>Benefit</v>
      </c>
    </row>
    <row r="5" spans="1:14" ht="12.75" customHeight="1">
      <c r="J5" t="s">
        <v>39</v>
      </c>
      <c r="K5" t="s">
        <v>16</v>
      </c>
      <c r="L5" t="s">
        <v>17</v>
      </c>
      <c r="M5" t="s">
        <v>40</v>
      </c>
      <c r="N5" t="s">
        <v>41</v>
      </c>
    </row>
    <row r="6" spans="1:14" ht="15" customHeight="1">
      <c r="A6" t="str">
        <f>TOPSIS_Template!A10</f>
        <v>SOLUTION A</v>
      </c>
      <c r="B6">
        <f>TOPSIS_Template!B10</f>
        <v>3.2</v>
      </c>
      <c r="C6">
        <f>TOPSIS_Template!C10</f>
        <v>4</v>
      </c>
      <c r="D6">
        <f>TOPSIS_Template!D10</f>
        <v>2</v>
      </c>
      <c r="E6">
        <f>TOPSIS_Template!E10</f>
        <v>3</v>
      </c>
      <c r="F6">
        <f>TOPSIS_Template!F10</f>
        <v>4.5999999999999996</v>
      </c>
      <c r="J6" t="str">
        <f>A6</f>
        <v>SOLUTION A</v>
      </c>
      <c r="K6" s="2">
        <f>IF(COUNTA($B6:$F6)=0,"",SQRT((B22-$B$30)^2+(C22-$C$30)^2+(D22-$D$30)^2+(E22-$E$30)^2+(F22-$F$30)^2))</f>
        <v>0.11535366028692901</v>
      </c>
      <c r="L6" s="2">
        <f>IF(COUNTA($B6:$F6)=0,"",SQRT((B22-$B$31)^2+(C22-$C$31)^2+(D22-$D$31)^2+(E22-$E$31)^2+(F22-$F$31)^2))</f>
        <v>9.3879129827975097E-2</v>
      </c>
      <c r="M6" s="2">
        <f>IF(OR(K6="",L6=""),"",L6/(K6+L6))</f>
        <v>0.44868268389682098</v>
      </c>
      <c r="N6">
        <f>IF(M6="","",RANK(M6,$M$6:$M$8,0))</f>
        <v>3</v>
      </c>
    </row>
    <row r="7" spans="1:14" ht="15" customHeight="1">
      <c r="A7" t="str">
        <f>TOPSIS_Template!A11</f>
        <v>SOLUTION B</v>
      </c>
      <c r="B7">
        <f>TOPSIS_Template!B11</f>
        <v>4</v>
      </c>
      <c r="C7">
        <f>TOPSIS_Template!C11</f>
        <v>4.4000000000000004</v>
      </c>
      <c r="D7">
        <f>TOPSIS_Template!D11</f>
        <v>2.8</v>
      </c>
      <c r="E7">
        <f>TOPSIS_Template!E11</f>
        <v>3.8</v>
      </c>
      <c r="F7">
        <f>TOPSIS_Template!F11</f>
        <v>3.4</v>
      </c>
      <c r="J7" t="str">
        <f>A7</f>
        <v>SOLUTION B</v>
      </c>
      <c r="K7" s="2">
        <f>IF(COUNTA($B7:$F7)=0,"",SQRT((B23-$B$30)^2+(C23-$C$30)^2+(D23-$D$30)^2+(E23-$E$30)^2+(F23-$F$30)^2))</f>
        <v>8.6182812672343095E-2</v>
      </c>
      <c r="L7" s="2">
        <f>IF(COUNTA($B7:$F7)=0,"",SQRT((B23-$B$31)^2+(C23-$C$31)^2+(D23-$D$31)^2+(E23-$E$31)^2+(F23-$F$31)^2))</f>
        <v>9.1432537829296806E-2</v>
      </c>
      <c r="M7" s="2">
        <f>IF(OR(K7="",L7=""),"",L7/(K7+L7))</f>
        <v>0.51477835429800101</v>
      </c>
      <c r="N7">
        <f>IF(M7="","",RANK(M7,$M$6:$M$8,0))</f>
        <v>1</v>
      </c>
    </row>
    <row r="8" spans="1:14" ht="15" customHeight="1">
      <c r="A8" t="str">
        <f>TOPSIS_Template!A12</f>
        <v>SOLUTION C</v>
      </c>
      <c r="B8">
        <f>TOPSIS_Template!B12</f>
        <v>3.6</v>
      </c>
      <c r="C8">
        <f>TOPSIS_Template!C12</f>
        <v>2.8</v>
      </c>
      <c r="D8">
        <f>TOPSIS_Template!D12</f>
        <v>4.5999999999999996</v>
      </c>
      <c r="E8">
        <f>TOPSIS_Template!E12</f>
        <v>2.2000000000000002</v>
      </c>
      <c r="F8">
        <f>TOPSIS_Template!F12</f>
        <v>2.2000000000000002</v>
      </c>
      <c r="J8" t="str">
        <f>A8</f>
        <v>SOLUTION C</v>
      </c>
      <c r="K8" s="2">
        <f>IF(COUNTA($B8:$F8)=0,"",SQRT((B24-$B$30)^2+(C24-$C$30)^2+(D24-$D$30)^2+(E24-$E$30)^2+(F24-$F$30)^2))</f>
        <v>0.110079020103827</v>
      </c>
      <c r="L8" s="2">
        <f>IF(COUNTA($B8:$F8)=0,"",SQRT((B24-$B$31)^2+(C24-$C$31)^2+(D24-$D$31)^2+(E24-$E$31)^2+(F24-$F$31)^2))</f>
        <v>0.10930059316420999</v>
      </c>
      <c r="M8" s="2">
        <f>IF(OR(K8="",L8=""),"",L8/(K8+L8))</f>
        <v>0.49822584485399402</v>
      </c>
      <c r="N8">
        <f>IF(M8="","",RANK(M8,$M$6:$M$8,0))</f>
        <v>2</v>
      </c>
    </row>
    <row r="9" spans="1:14" ht="13.5" customHeight="1">
      <c r="K9" s="2"/>
      <c r="L9" s="2"/>
      <c r="M9" s="2"/>
    </row>
    <row r="10" spans="1:14" ht="13.5" customHeight="1">
      <c r="K10" s="2"/>
      <c r="L10" s="2"/>
      <c r="M10" s="2"/>
    </row>
    <row r="13" spans="1:14" ht="12.75" customHeight="1">
      <c r="A13" t="s">
        <v>42</v>
      </c>
      <c r="B13" t="str">
        <f>B2</f>
        <v>C1</v>
      </c>
      <c r="C13" t="str">
        <f>C2</f>
        <v>C2</v>
      </c>
      <c r="D13" t="str">
        <f>D2</f>
        <v>C3</v>
      </c>
      <c r="E13" t="str">
        <f>E2</f>
        <v>C4</v>
      </c>
      <c r="F13" t="str">
        <f>F2</f>
        <v>C5</v>
      </c>
    </row>
    <row r="14" spans="1:14" ht="15" customHeight="1">
      <c r="A14" t="str">
        <f>A6</f>
        <v>SOLUTION A</v>
      </c>
      <c r="B14">
        <f t="shared" ref="B14:F16" si="0">IF(COUNTA($B6:$F6)=0,"",IFERROR(B6/SQRT(SUMSQ(B$6:B$8)),""))</f>
        <v>0.51110125199995204</v>
      </c>
      <c r="C14">
        <f t="shared" si="0"/>
        <v>0.60858061945018505</v>
      </c>
      <c r="D14">
        <f t="shared" si="0"/>
        <v>0.34815531191139598</v>
      </c>
      <c r="E14">
        <f t="shared" si="0"/>
        <v>0.56413306083345105</v>
      </c>
      <c r="F14">
        <f t="shared" si="0"/>
        <v>0.75057663313956302</v>
      </c>
    </row>
    <row r="15" spans="1:14" ht="15" customHeight="1">
      <c r="A15" t="str">
        <f>A7</f>
        <v>SOLUTION B</v>
      </c>
      <c r="B15">
        <f t="shared" si="0"/>
        <v>0.63887656499994006</v>
      </c>
      <c r="C15">
        <f t="shared" si="0"/>
        <v>0.66943868139520302</v>
      </c>
      <c r="D15">
        <f t="shared" si="0"/>
        <v>0.487417436675954</v>
      </c>
      <c r="E15">
        <f t="shared" si="0"/>
        <v>0.714568543722371</v>
      </c>
      <c r="F15">
        <f t="shared" si="0"/>
        <v>0.55477403319011198</v>
      </c>
    </row>
    <row r="16" spans="1:14" ht="15" customHeight="1">
      <c r="A16" t="str">
        <f>A8</f>
        <v>SOLUTION C</v>
      </c>
      <c r="B16">
        <f t="shared" si="0"/>
        <v>0.57498890849994599</v>
      </c>
      <c r="C16">
        <f t="shared" si="0"/>
        <v>0.42600643361512902</v>
      </c>
      <c r="D16">
        <f t="shared" si="0"/>
        <v>0.80075721739620997</v>
      </c>
      <c r="E16">
        <f t="shared" si="0"/>
        <v>0.41369757794453099</v>
      </c>
      <c r="F16">
        <f t="shared" si="0"/>
        <v>0.358971433240661</v>
      </c>
    </row>
    <row r="21" spans="1:6" ht="12.75" customHeight="1">
      <c r="A21" t="s">
        <v>43</v>
      </c>
      <c r="B21" t="str">
        <f>B2</f>
        <v>C1</v>
      </c>
      <c r="C21" t="str">
        <f>C2</f>
        <v>C2</v>
      </c>
      <c r="D21" t="str">
        <f>D2</f>
        <v>C3</v>
      </c>
      <c r="E21" t="str">
        <f>E2</f>
        <v>C4</v>
      </c>
      <c r="F21" t="str">
        <f>F2</f>
        <v>C5</v>
      </c>
    </row>
    <row r="22" spans="1:6" ht="15" customHeight="1">
      <c r="A22" t="str">
        <f>A6</f>
        <v>SOLUTION A</v>
      </c>
      <c r="B22">
        <f t="shared" ref="B22:F24" si="1">IF(B14="","",B14*B$3)</f>
        <v>9.7109237879990901E-2</v>
      </c>
      <c r="C22">
        <f t="shared" si="1"/>
        <v>0.10041580220927999</v>
      </c>
      <c r="D22">
        <f t="shared" si="1"/>
        <v>8.3557274858735001E-2</v>
      </c>
      <c r="E22">
        <f t="shared" si="1"/>
        <v>0.10718528155835599</v>
      </c>
      <c r="F22">
        <f t="shared" si="1"/>
        <v>0.16137397612500601</v>
      </c>
    </row>
    <row r="23" spans="1:6" ht="15" customHeight="1">
      <c r="A23" t="str">
        <f>A7</f>
        <v>SOLUTION B</v>
      </c>
      <c r="B23">
        <f t="shared" si="1"/>
        <v>0.12138654734998899</v>
      </c>
      <c r="C23">
        <f t="shared" si="1"/>
        <v>0.110457382430209</v>
      </c>
      <c r="D23">
        <f t="shared" si="1"/>
        <v>0.11698018480222901</v>
      </c>
      <c r="E23">
        <f t="shared" si="1"/>
        <v>0.13576802330725099</v>
      </c>
      <c r="F23">
        <f t="shared" si="1"/>
        <v>0.119276417135874</v>
      </c>
    </row>
    <row r="24" spans="1:6" ht="15" customHeight="1">
      <c r="A24" t="str">
        <f>A8</f>
        <v>SOLUTION C</v>
      </c>
      <c r="B24">
        <f t="shared" si="1"/>
        <v>0.10924789261499</v>
      </c>
      <c r="C24">
        <f t="shared" si="1"/>
        <v>7.0291061546496295E-2</v>
      </c>
      <c r="D24">
        <f t="shared" si="1"/>
        <v>0.19218173217508999</v>
      </c>
      <c r="E24">
        <f t="shared" si="1"/>
        <v>7.86025398094609E-2</v>
      </c>
      <c r="F24">
        <f t="shared" si="1"/>
        <v>7.7178858146742094E-2</v>
      </c>
    </row>
    <row r="29" spans="1:6" ht="12.75" customHeight="1">
      <c r="A29" t="s">
        <v>44</v>
      </c>
      <c r="B29" t="str">
        <f>B2</f>
        <v>C1</v>
      </c>
      <c r="C29" t="str">
        <f>C2</f>
        <v>C2</v>
      </c>
      <c r="D29" t="str">
        <f>D2</f>
        <v>C3</v>
      </c>
      <c r="E29" t="str">
        <f>E2</f>
        <v>C4</v>
      </c>
      <c r="F29" t="str">
        <f>F2</f>
        <v>C5</v>
      </c>
    </row>
    <row r="30" spans="1:6" ht="12.75" customHeight="1">
      <c r="A30" t="s">
        <v>45</v>
      </c>
      <c r="B30">
        <f>IF(B$4="Benefit",MAX(B$22:B$24),MIN(B$22:B$24))</f>
        <v>0.12138654734998899</v>
      </c>
      <c r="C30">
        <f>IF(C$4="Benefit",MAX(C$22:C$24),MIN(C$22:C$24))</f>
        <v>0.110457382430209</v>
      </c>
      <c r="D30">
        <f>IF(D$4="Benefit",MAX(D$22:D$24),MIN(D$22:D$24))</f>
        <v>0.19218173217508999</v>
      </c>
      <c r="E30">
        <f>IF(E$4="Benefit",MAX(E$22:E$24),MIN(E$22:E$24))</f>
        <v>0.13576802330725099</v>
      </c>
      <c r="F30">
        <f>IF(F$4="Benefit",MAX(F$22:F$24),MIN(F$22:F$24))</f>
        <v>0.16137397612500601</v>
      </c>
    </row>
    <row r="31" spans="1:6" ht="12.75" customHeight="1">
      <c r="A31" t="s">
        <v>46</v>
      </c>
      <c r="B31">
        <f>IF(B$4="Benefit",MIN(B$22:B$24),MAX(B$22:B$24))</f>
        <v>9.7109237879990901E-2</v>
      </c>
      <c r="C31">
        <f>IF(C$4="Benefit",MIN(C$22:C$24),MAX(C$22:C$24))</f>
        <v>7.0291061546496295E-2</v>
      </c>
      <c r="D31">
        <f>IF(D$4="Benefit",MIN(D$22:D$24),MAX(D$22:D$24))</f>
        <v>8.3557274858735001E-2</v>
      </c>
      <c r="E31">
        <f>IF(E$4="Benefit",MIN(E$22:E$24),MAX(E$22:E$24))</f>
        <v>7.86025398094609E-2</v>
      </c>
      <c r="F31">
        <f>IF(F$4="Benefit",MIN(F$22:F$24),MAX(F$22:F$24))</f>
        <v>7.7178858146742094E-2</v>
      </c>
    </row>
  </sheetData>
  <phoneticPr fontId="10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TOPSIS_Template</vt:lpstr>
      <vt:lpstr>Instructions</vt:lpstr>
      <vt:lpstr>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lucaszhao2049@gmail.com</cp:lastModifiedBy>
  <dcterms:created xsi:type="dcterms:W3CDTF">2026-04-29T09:34:37Z</dcterms:created>
  <dcterms:modified xsi:type="dcterms:W3CDTF">2026-05-11T05:39:33Z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EF24D95D505079C34260F169A9C38C08_42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