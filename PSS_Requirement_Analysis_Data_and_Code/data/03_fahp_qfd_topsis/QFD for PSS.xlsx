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<sst xmlns="http://schemas.openxmlformats.org/spreadsheetml/2006/main" count="44" uniqueCount="32">
  <si>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权重 （weight)</t>
  </si>
  <si>
    <t>RSP Ranking</t>
  </si>
  <si>
    <t>PCh1：Clothing return 
and containment system</t>
  </si>
  <si>
    <t>PCh2：Accessibility 
of HSI</t>
  </si>
  <si>
    <t>PCh3：Spatial accessibility 
of the shared closet</t>
  </si>
  <si>
    <t>PCh4：Clothing 
hygiene assurance</t>
  </si>
  <si>
    <t>PCh5：Clothing physical 
quality assurance</t>
  </si>
  <si>
    <t>SCh1：Availability of 
interaction software/app</t>
  </si>
  <si>
    <t>SCh2：Functional and 
activity-based clothing rental</t>
  </si>
  <si>
    <t>SCh3：Online
reservation service</t>
  </si>
  <si>
    <t>SCh4：Customized 
clothing Recommendation</t>
  </si>
  <si>
    <t>RSP1：降低衣物管理负担</t>
  </si>
  <si>
    <t>RSP2：便利性</t>
  </si>
  <si>
    <t>RSP3：感知清洁</t>
  </si>
  <si>
    <t>RSP4：性价比</t>
  </si>
  <si>
    <t>RSP5：风格多样性</t>
  </si>
  <si>
    <t>绝对重要性
（absolute importance)</t>
  </si>
  <si>
    <t>相对重要性
（Relative importance)</t>
  </si>
  <si>
    <t>Ch Ranking</t>
  </si>
  <si>
    <t>PCo1</t>
  </si>
  <si>
    <t>PCo2</t>
  </si>
  <si>
    <t>PCo3</t>
  </si>
  <si>
    <t>PCo4</t>
  </si>
  <si>
    <t>PCo5</t>
  </si>
  <si>
    <t>PCo6</t>
  </si>
  <si>
    <t>SCo1</t>
  </si>
  <si>
    <t>SCo2</t>
  </si>
  <si>
    <t>SCo3</t>
  </si>
  <si>
    <t>SCo4</t>
  </si>
  <si>
    <t>SCo5</t>
  </si>
  <si>
    <t>SCo6</t>
  </si>
  <si>
    <t>P/SCos Ranking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</si>
</sst>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3" applyNumberFormat="0" applyFill="0" applyAlignment="0" applyProtection="0">
      <alignment vertical="center"/>
    </xf>
    <xf numFmtId="0" fontId="7" fillId="0" borderId="23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5" applyNumberFormat="0" applyAlignment="0" applyProtection="0">
      <alignment vertical="center"/>
    </xf>
    <xf numFmtId="0" fontId="10" fillId="4" borderId="26" applyNumberFormat="0" applyAlignment="0" applyProtection="0">
      <alignment vertical="center"/>
    </xf>
    <xf numFmtId="0" fontId="11" fillId="4" borderId="25" applyNumberFormat="0" applyAlignment="0" applyProtection="0">
      <alignment vertical="center"/>
    </xf>
    <xf numFmtId="0" fontId="12" fillId="5" borderId="27" applyNumberFormat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Alignment="1">
      <alignment vertical="center" wrapText="1"/>
    </xf>
    <xf numFmtId="0" fontId="0" fillId="0" borderId="1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5" xfId="0" applyFill="1" applyBorder="1">
      <alignment vertical="center"/>
    </xf>
    <xf numFmtId="176" fontId="0" fillId="0" borderId="6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177" fontId="0" fillId="0" borderId="10" xfId="0" applyNumberFormat="1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177" fontId="0" fillId="0" borderId="1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7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177" fontId="0" fillId="0" borderId="17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zoomScale="75" zoomScaleNormal="75" workbookViewId="0">
      <selection activeCell="F12" sqref="F12"/>
    </sheetView>
  </sheetViews>
  <sheetFormatPr defaultColWidth="9.23076923076923" defaultRowHeight="16.8"/>
  <cols>
    <col min="1" max="1" width="24.0288461538462" customWidth="1"/>
    <col min="2" max="2" width="15.3846153846154" customWidth="1"/>
    <col min="3" max="3" width="12.7596153846154" customWidth="1"/>
    <col min="4" max="4" width="22.9711538461538" customWidth="1"/>
    <col min="5" max="5" width="22.7307692307692" customWidth="1"/>
    <col min="6" max="6" width="24.6730769230769" customWidth="1"/>
    <col min="7" max="7" width="18.0096153846154" customWidth="1"/>
    <col min="8" max="8" width="23.0384615384615" customWidth="1"/>
    <col min="9" max="9" width="24.3269230769231" customWidth="1"/>
    <col min="10" max="10" width="27.0192307692308" customWidth="1"/>
    <col min="11" max="11" width="19.7692307692308" customWidth="1"/>
    <col min="12" max="12" width="24.9230769230769" customWidth="1"/>
    <col min="13" max="16" width="12.9230769230769"/>
  </cols>
  <sheetData>
    <row r="1" spans="1:14">
      <c r="C1" s="1"/>
      <c r="D1" s="1"/>
      <c r="E1" s="1"/>
      <c r="F1" s="1"/>
      <c r="G1" s="1"/>
    </row>
    <row r="2" spans="1:14">
      <c r="C2" s="1"/>
      <c r="D2" s="1"/>
      <c r="E2" s="1"/>
      <c r="F2" s="1"/>
      <c r="G2" s="1"/>
    </row>
    <row r="3" ht="15" customHeight="1" spans="1:14">
      <c r="F3" s="2"/>
    </row>
    <row r="5" ht="23" customHeight="1"/>
    <row r="6" ht="27" customHeight="1"/>
    <row r="7" ht="67" customHeight="1" spans="1:14">
      <c r="A7" s="3"/>
      <c r="B7" s="4" t="s">
        <v>0</v>
      </c>
      <c r="C7" s="5" t="s">
        <v>1</v>
      </c>
      <c r="D7" s="6" t="s">
        <v>2</v>
      </c>
      <c r="E7" s="6" t="s">
        <v>3</v>
      </c>
      <c r="F7" s="6" t="s">
        <v>4</v>
      </c>
      <c r="G7" s="6" t="s">
        <v>5</v>
      </c>
      <c r="H7" s="6" t="s">
        <v>6</v>
      </c>
      <c r="I7" s="6" t="s">
        <v>7</v>
      </c>
      <c r="J7" s="6" t="s">
        <v>8</v>
      </c>
      <c r="K7" s="6" t="s">
        <v>9</v>
      </c>
      <c r="L7" s="7" t="s">
        <v>10</v>
      </c>
      <c r="M7" s="8"/>
      <c r="N7" s="9"/>
    </row>
    <row r="8" spans="1:14">
      <c r="A8" s="10" t="s">
        <v>11</v>
      </c>
      <c r="B8" s="11">
        <v>0.19</v>
      </c>
      <c r="C8" s="12"/>
      <c r="D8" s="13">
        <v>9</v>
      </c>
      <c r="E8" s="4"/>
      <c r="F8" s="4">
        <v>3</v>
      </c>
      <c r="G8" s="4"/>
      <c r="H8" s="4"/>
      <c r="I8" s="4">
        <v>1</v>
      </c>
      <c r="J8" s="4">
        <v>3</v>
      </c>
      <c r="K8" s="4">
        <v>1</v>
      </c>
      <c r="L8" s="14">
        <v>1</v>
      </c>
      <c r="M8" s="8"/>
      <c r="N8" s="9"/>
    </row>
    <row r="9" spans="1:14">
      <c r="A9" s="10" t="s">
        <v>12</v>
      </c>
      <c r="B9" s="11">
        <v>0.165</v>
      </c>
      <c r="C9" s="12"/>
      <c r="D9" s="15">
        <v>1</v>
      </c>
      <c r="E9" s="16">
        <v>9</v>
      </c>
      <c r="F9" s="16">
        <v>9</v>
      </c>
      <c r="G9" s="16">
        <v>1</v>
      </c>
      <c r="H9" s="16">
        <v>3</v>
      </c>
      <c r="I9" s="16">
        <v>9</v>
      </c>
      <c r="J9" s="16"/>
      <c r="K9" s="16">
        <v>9</v>
      </c>
      <c r="L9" s="17">
        <v>3</v>
      </c>
      <c r="M9" s="8"/>
      <c r="N9" s="9"/>
    </row>
    <row r="10" spans="1:14">
      <c r="A10" s="10" t="s">
        <v>13</v>
      </c>
      <c r="B10" s="11">
        <v>0.24</v>
      </c>
      <c r="C10" s="12"/>
      <c r="D10" s="15"/>
      <c r="E10" s="16"/>
      <c r="F10" s="16"/>
      <c r="G10" s="16">
        <v>9</v>
      </c>
      <c r="H10" s="16">
        <v>9</v>
      </c>
      <c r="I10" s="16"/>
      <c r="J10" s="16"/>
      <c r="K10" s="16"/>
      <c r="L10" s="17"/>
      <c r="M10" s="8"/>
      <c r="N10" s="9"/>
    </row>
    <row r="11" spans="1:14">
      <c r="A11" s="10" t="s">
        <v>14</v>
      </c>
      <c r="B11" s="11">
        <v>0.19</v>
      </c>
      <c r="C11" s="12"/>
      <c r="D11" s="15"/>
      <c r="E11" s="16"/>
      <c r="F11" s="16"/>
      <c r="G11" s="16">
        <v>1</v>
      </c>
      <c r="H11" s="16"/>
      <c r="I11" s="16"/>
      <c r="J11" s="16">
        <v>9</v>
      </c>
      <c r="K11" s="16"/>
      <c r="L11" s="17"/>
      <c r="M11" s="8"/>
      <c r="N11" s="9"/>
    </row>
    <row r="12" spans="1:14">
      <c r="A12" s="10" t="s">
        <v>15</v>
      </c>
      <c r="B12" s="11">
        <v>0.215</v>
      </c>
      <c r="C12" s="12"/>
      <c r="D12" s="15"/>
      <c r="E12" s="16"/>
      <c r="F12" s="16"/>
      <c r="G12" s="16"/>
      <c r="H12" s="16"/>
      <c r="I12" s="16"/>
      <c r="J12" s="16">
        <v>9</v>
      </c>
      <c r="K12" s="16"/>
      <c r="L12" s="17">
        <v>9</v>
      </c>
      <c r="M12" s="8"/>
      <c r="N12" s="9"/>
    </row>
    <row r="13" ht="34" customHeight="1" spans="1:14">
      <c r="A13" s="18" t="s">
        <v>16</v>
      </c>
      <c r="B13" s="19"/>
      <c r="C13" s="20"/>
      <c r="D13" s="15">
        <f>D8*B8+D9*B9+D10*B10+D11*B11+D12*B12</f>
        <v>1.875</v>
      </c>
      <c r="E13" s="16">
        <f>E9*B9</f>
        <v>1.485</v>
      </c>
      <c r="F13" s="16">
        <f>F8*B8+F9*B9</f>
        <v>2.055</v>
      </c>
      <c r="G13" s="16">
        <f>G9*B9+G10*B10+G11*B11</f>
        <v>2.515</v>
      </c>
      <c r="H13" s="16">
        <f>H9*B9+H10*B10</f>
        <v>2.655</v>
      </c>
      <c r="I13" s="16">
        <f>I8*B8+I9*B9</f>
        <v>1.675</v>
      </c>
      <c r="J13" s="16">
        <f>J8*B8+J11*B11+J12*B12</f>
        <v>4.215</v>
      </c>
      <c r="K13" s="16">
        <f>K8*B8+K9*B9</f>
        <v>1.675</v>
      </c>
      <c r="L13" s="17">
        <f>L8*B8+L9*B9+L12*B12</f>
        <v>2.62</v>
      </c>
      <c r="M13" s="8">
        <f>SUM(D13:L13)</f>
        <v>20.77</v>
      </c>
      <c r="N13" s="9"/>
    </row>
    <row r="14" ht="35" customHeight="1" spans="1:14">
      <c r="A14" s="21" t="s">
        <v>17</v>
      </c>
      <c r="B14" s="22"/>
      <c r="C14" s="23"/>
      <c r="D14" s="24">
        <f>D13/M13</f>
        <v>0.0902744342802118</v>
      </c>
      <c r="E14" s="25">
        <f>E13/M13</f>
        <v>0.0714973519499278</v>
      </c>
      <c r="F14" s="25">
        <f>F13/M13</f>
        <v>0.0989407799711122</v>
      </c>
      <c r="G14" s="25">
        <f>G13/M13</f>
        <v>0.121088107847857</v>
      </c>
      <c r="H14" s="25">
        <f>H13/M13</f>
        <v>0.12782859894078</v>
      </c>
      <c r="I14" s="25">
        <f>I13/M13</f>
        <v>0.0806451612903226</v>
      </c>
      <c r="J14" s="25">
        <f>J13/M13</f>
        <v>0.202936928261916</v>
      </c>
      <c r="K14" s="25">
        <f>K13/M13</f>
        <v>0.0806451612903226</v>
      </c>
      <c r="L14" s="26">
        <f>L13/M13</f>
        <v>0.126143476167549</v>
      </c>
      <c r="M14" s="8">
        <f>SUM(D14:L14)</f>
        <v>1</v>
      </c>
      <c r="N14" s="9"/>
    </row>
    <row r="16" ht="17.55"/>
    <row r="17" ht="35" customHeight="1" spans="1:16">
      <c r="A17" s="27"/>
      <c r="B17" s="28" t="s">
        <v>0</v>
      </c>
      <c r="C17" s="28" t="s">
        <v>18</v>
      </c>
      <c r="D17" s="29" t="s">
        <v>19</v>
      </c>
      <c r="E17" s="29" t="s">
        <v>20</v>
      </c>
      <c r="F17" s="29" t="s">
        <v>21</v>
      </c>
      <c r="G17" s="29" t="s">
        <v>22</v>
      </c>
      <c r="H17" s="29" t="s">
        <v>23</v>
      </c>
      <c r="I17" s="29" t="s">
        <v>24</v>
      </c>
      <c r="J17" s="29" t="s">
        <v>25</v>
      </c>
      <c r="K17" s="29" t="s">
        <v>26</v>
      </c>
      <c r="L17" s="29" t="s">
        <v>27</v>
      </c>
      <c r="M17" s="29" t="s">
        <v>28</v>
      </c>
      <c r="N17" s="29" t="s">
        <v>29</v>
      </c>
      <c r="O17" s="30" t="s">
        <v>30</v>
      </c>
      <c r="P17" s="31"/>
    </row>
    <row r="18" ht="34" spans="1:16">
      <c r="A18" s="32" t="s">
        <v>2</v>
      </c>
      <c r="B18" s="33">
        <f>D14</f>
        <v>0.0902744342802118</v>
      </c>
      <c r="C18" s="34"/>
      <c r="D18" s="27">
        <v>9</v>
      </c>
      <c r="E18" s="28">
        <v>3</v>
      </c>
      <c r="F18" s="28">
        <v>1</v>
      </c>
      <c r="G18" s="28">
        <v>9</v>
      </c>
      <c r="H18" s="28">
        <v>1</v>
      </c>
      <c r="I18" s="35">
        <v>1</v>
      </c>
      <c r="J18" s="28"/>
      <c r="K18" s="28"/>
      <c r="L18" s="28"/>
      <c r="M18" s="28"/>
      <c r="N18" s="28"/>
      <c r="O18" s="36"/>
      <c r="P18" s="31"/>
    </row>
    <row r="19" ht="34" spans="1:16">
      <c r="A19" s="32" t="s">
        <v>3</v>
      </c>
      <c r="B19" s="33">
        <f>E14</f>
        <v>0.0714973519499278</v>
      </c>
      <c r="C19" s="34"/>
      <c r="D19" s="37">
        <v>1</v>
      </c>
      <c r="E19" s="38">
        <v>9</v>
      </c>
      <c r="F19" s="38"/>
      <c r="G19" s="38"/>
      <c r="H19" s="38"/>
      <c r="I19" s="38"/>
      <c r="J19" s="38">
        <v>1</v>
      </c>
      <c r="K19" s="39">
        <v>3</v>
      </c>
      <c r="L19" s="38">
        <v>3</v>
      </c>
      <c r="M19" s="38">
        <v>3</v>
      </c>
      <c r="N19" s="38">
        <v>9</v>
      </c>
      <c r="O19" s="40"/>
      <c r="P19" s="31"/>
    </row>
    <row r="20" ht="51" spans="1:16">
      <c r="A20" s="32" t="s">
        <v>4</v>
      </c>
      <c r="B20" s="33">
        <f>F14</f>
        <v>0.0989407799711122</v>
      </c>
      <c r="C20" s="34"/>
      <c r="D20" s="37"/>
      <c r="E20" s="38"/>
      <c r="F20" s="38">
        <v>9</v>
      </c>
      <c r="G20" s="38"/>
      <c r="H20" s="38"/>
      <c r="I20" s="38"/>
      <c r="J20" s="38"/>
      <c r="K20" s="38"/>
      <c r="L20" s="38"/>
      <c r="M20" s="38"/>
      <c r="N20" s="38"/>
      <c r="O20" s="40"/>
      <c r="P20" s="31"/>
    </row>
    <row r="21" ht="34" spans="1:16">
      <c r="A21" s="32" t="s">
        <v>5</v>
      </c>
      <c r="B21" s="33">
        <f>G14</f>
        <v>0.121088107847857</v>
      </c>
      <c r="C21" s="34"/>
      <c r="D21" s="37">
        <v>3</v>
      </c>
      <c r="E21" s="38"/>
      <c r="F21" s="38"/>
      <c r="G21" s="38">
        <v>3</v>
      </c>
      <c r="H21" s="38">
        <v>1</v>
      </c>
      <c r="I21" s="38">
        <v>9</v>
      </c>
      <c r="J21" s="38"/>
      <c r="K21" s="38"/>
      <c r="L21" s="38"/>
      <c r="M21" s="38"/>
      <c r="N21" s="38"/>
      <c r="O21" s="40">
        <v>9</v>
      </c>
      <c r="P21" s="31"/>
    </row>
    <row r="22" ht="34" spans="1:16">
      <c r="A22" s="32" t="s">
        <v>6</v>
      </c>
      <c r="B22" s="33">
        <f>H14</f>
        <v>0.12782859894078</v>
      </c>
      <c r="C22" s="34"/>
      <c r="D22" s="37">
        <v>3</v>
      </c>
      <c r="E22" s="38"/>
      <c r="F22" s="38"/>
      <c r="G22" s="38">
        <v>3</v>
      </c>
      <c r="H22" s="38">
        <v>9</v>
      </c>
      <c r="I22" s="41"/>
      <c r="J22" s="38"/>
      <c r="K22" s="38"/>
      <c r="L22" s="38"/>
      <c r="M22" s="38"/>
      <c r="N22" s="38"/>
      <c r="O22" s="40">
        <v>3</v>
      </c>
      <c r="P22" s="31"/>
    </row>
    <row r="23" ht="34" spans="1:16">
      <c r="A23" s="32" t="s">
        <v>7</v>
      </c>
      <c r="B23" s="33">
        <f>I14</f>
        <v>0.0806451612903226</v>
      </c>
      <c r="C23" s="34"/>
      <c r="D23" s="37"/>
      <c r="E23" s="38">
        <v>3</v>
      </c>
      <c r="F23" s="38"/>
      <c r="G23" s="38"/>
      <c r="H23" s="38"/>
      <c r="J23" s="38">
        <v>9</v>
      </c>
      <c r="K23" s="38">
        <v>3</v>
      </c>
      <c r="L23" s="38">
        <v>3</v>
      </c>
      <c r="M23" s="38">
        <v>3</v>
      </c>
      <c r="N23" s="38">
        <v>9</v>
      </c>
      <c r="O23" s="40"/>
      <c r="P23" s="31"/>
    </row>
    <row r="24" ht="51" spans="1:16">
      <c r="A24" s="32" t="s">
        <v>8</v>
      </c>
      <c r="B24" s="33">
        <f>J14</f>
        <v>0.202936928261916</v>
      </c>
      <c r="C24" s="34"/>
      <c r="D24" s="37"/>
      <c r="E24" s="38"/>
      <c r="F24" s="38"/>
      <c r="G24" s="38"/>
      <c r="H24" s="38"/>
      <c r="I24" s="38"/>
      <c r="J24" s="38"/>
      <c r="K24" s="39">
        <v>3</v>
      </c>
      <c r="L24" s="38">
        <v>9</v>
      </c>
      <c r="M24" s="38"/>
      <c r="N24" s="38"/>
      <c r="O24" s="40"/>
      <c r="P24" s="31"/>
    </row>
    <row r="25" ht="34" spans="1:16">
      <c r="A25" s="32" t="s">
        <v>9</v>
      </c>
      <c r="B25" s="33">
        <f>K14</f>
        <v>0.0806451612903226</v>
      </c>
      <c r="C25" s="34"/>
      <c r="D25" s="37"/>
      <c r="E25" s="38">
        <v>1</v>
      </c>
      <c r="F25" s="38"/>
      <c r="G25" s="38"/>
      <c r="H25" s="38"/>
      <c r="I25" s="38"/>
      <c r="J25" s="38">
        <v>9</v>
      </c>
      <c r="K25" s="38"/>
      <c r="L25" s="38"/>
      <c r="M25" s="38"/>
      <c r="N25" s="38">
        <v>3</v>
      </c>
      <c r="O25" s="40"/>
      <c r="P25" s="31"/>
    </row>
    <row r="26" ht="51" spans="1:16">
      <c r="A26" s="32" t="s">
        <v>10</v>
      </c>
      <c r="B26" s="33">
        <f>L14</f>
        <v>0.126143476167549</v>
      </c>
      <c r="C26" s="34"/>
      <c r="D26" s="37"/>
      <c r="E26" s="38">
        <v>9</v>
      </c>
      <c r="F26" s="42"/>
      <c r="G26" s="38"/>
      <c r="H26" s="38"/>
      <c r="I26" s="39"/>
      <c r="J26" s="38">
        <v>3</v>
      </c>
      <c r="K26" s="38">
        <v>9</v>
      </c>
      <c r="L26" s="38">
        <v>9</v>
      </c>
      <c r="M26" s="38">
        <v>9</v>
      </c>
      <c r="N26" s="38">
        <v>1</v>
      </c>
      <c r="O26" s="40"/>
      <c r="P26" s="31"/>
    </row>
    <row r="27" ht="40" customHeight="1" spans="1:16">
      <c r="A27" s="18" t="s">
        <v>16</v>
      </c>
      <c r="B27" s="19"/>
      <c r="C27" s="20"/>
      <c r="D27" s="43">
        <f>D18*B18+D19*B19+D21*B21+D22*B22</f>
        <v>1.63071738083775</v>
      </c>
      <c r="E27" s="44">
        <f>E18*B18+E19*B19+E23*B23+E25*B25+E26*B26</f>
        <v>2.37217140105922</v>
      </c>
      <c r="F27" s="45">
        <f>F18*B18+F20*B20</f>
        <v>0.980741454020221</v>
      </c>
      <c r="G27" s="44">
        <f>G18*B18+G21*B21+G22*B22</f>
        <v>1.55922002888782</v>
      </c>
      <c r="H27" s="44">
        <f>H18*B18+H21*B21+H22*B22</f>
        <v>1.36181993259509</v>
      </c>
      <c r="I27" s="44">
        <f>I18*B18+I21*B21</f>
        <v>1.18006740491093</v>
      </c>
      <c r="J27" s="44">
        <f>J19*B19+J23*B23+J25*B25+J26*B26</f>
        <v>1.90154068367838</v>
      </c>
      <c r="K27" s="46">
        <f>K19*B19+K23*B23+K24*B24+K26*B26</f>
        <v>2.20052961001444</v>
      </c>
      <c r="L27" s="44">
        <f>L19*B19+L23*B23+L24*B24+L26*B26</f>
        <v>3.41815117958594</v>
      </c>
      <c r="M27" s="44">
        <f>M19*B19+M23*B23+M26*B26</f>
        <v>1.59171882522869</v>
      </c>
      <c r="N27" s="44">
        <f>N19*B19+N23*B23+N25*B25+N26*B26</f>
        <v>1.73736157920077</v>
      </c>
      <c r="O27" s="47">
        <f>O21*B21+O22*B22</f>
        <v>1.47327876745306</v>
      </c>
      <c r="P27" s="48">
        <f>SUM(D27:O27)</f>
        <v>21.4073182474723</v>
      </c>
    </row>
    <row r="28" ht="42" customHeight="1" spans="1:16">
      <c r="A28" s="49" t="s">
        <v>17</v>
      </c>
      <c r="B28" s="50"/>
      <c r="C28" s="51"/>
      <c r="D28" s="52">
        <f>D27/P27</f>
        <v>0.07617569664665</v>
      </c>
      <c r="E28" s="53">
        <f>E27/P27</f>
        <v>0.110811236308841</v>
      </c>
      <c r="F28" s="53">
        <f>F27/P27</f>
        <v>0.0458133729168072</v>
      </c>
      <c r="G28" s="53">
        <f>G27/P27</f>
        <v>0.0728358410363673</v>
      </c>
      <c r="H28" s="53">
        <f>H27/P27</f>
        <v>0.0636146908665632</v>
      </c>
      <c r="I28" s="53">
        <f>I27/P27</f>
        <v>0.0551244855272924</v>
      </c>
      <c r="J28" s="53">
        <f>J27/P27</f>
        <v>0.0888266648674179</v>
      </c>
      <c r="K28" s="53">
        <f>K27/P27</f>
        <v>0.102793333783146</v>
      </c>
      <c r="L28" s="53">
        <f>L27/P27</f>
        <v>0.159672086903718</v>
      </c>
      <c r="M28" s="53">
        <f>M27/P27</f>
        <v>0.0743539572228595</v>
      </c>
      <c r="N28" s="53">
        <f>N27/P27</f>
        <v>0.0811573667993613</v>
      </c>
      <c r="O28" s="54">
        <f>O27/P27</f>
        <v>0.068821267120977</v>
      </c>
      <c r="P28" s="31"/>
    </row>
    <row r="29" ht="39" customHeight="1" spans="1:16">
      <c r="A29" s="55" t="s">
        <v>31</v>
      </c>
      <c r="B29" s="56"/>
      <c r="C29" s="56"/>
      <c r="D29" s="57">
        <f>RANK(D28,28:28,0)</f>
        <v>6</v>
      </c>
      <c r="E29" s="57">
        <f t="shared" ref="E29:O29" si="0">RANK(E28,28:28,0)</f>
        <v>2</v>
      </c>
      <c r="F29" s="57">
        <f t="shared" si="0"/>
        <v>12</v>
      </c>
      <c r="G29" s="57">
        <f t="shared" si="0"/>
        <v>8</v>
      </c>
      <c r="H29" s="57">
        <f t="shared" si="0"/>
        <v>10</v>
      </c>
      <c r="I29" s="57">
        <f t="shared" si="0"/>
        <v>11</v>
      </c>
      <c r="J29" s="57">
        <f t="shared" si="0"/>
        <v>4</v>
      </c>
      <c r="K29" s="57">
        <f t="shared" si="0"/>
        <v>3</v>
      </c>
      <c r="L29" s="57">
        <f t="shared" si="0"/>
        <v>1</v>
      </c>
      <c r="M29" s="57">
        <f t="shared" si="0"/>
        <v>7</v>
      </c>
      <c r="N29" s="57">
        <f t="shared" si="0"/>
        <v>5</v>
      </c>
      <c r="O29" s="57">
        <f t="shared" si="0"/>
        <v>9</v>
      </c>
    </row>
  </sheetData>
  <mergeCells count="5">
    <mergeCell ref="A13:C13"/>
    <mergeCell ref="A14:C14"/>
    <mergeCell ref="A27:C27"/>
    <mergeCell ref="A28:C28"/>
    <mergeCell ref="A29:C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laptop_gen2</dc:creator>
  <cp:lastModifiedBy>WPS_1766126795</cp:lastModifiedBy>
  <dcterms:created xsi:type="dcterms:W3CDTF">2026-01-13T14:24:00Z</dcterms:created>
  <dcterms:modified xsi:type="dcterms:W3CDTF">2026-05-11T20:05:50Z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69E9BD3448DF9CB71EC6016A0A346FF1_43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